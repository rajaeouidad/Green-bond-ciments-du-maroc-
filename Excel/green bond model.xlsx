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6e823e8b38533c/Desktop/Green Bond ciments du maroc/Excel/"/>
    </mc:Choice>
  </mc:AlternateContent>
  <xr:revisionPtr revIDLastSave="0" documentId="8_{8CFFAC37-FD88-4A18-8DB6-E8C3244A83A8}" xr6:coauthVersionLast="47" xr6:coauthVersionMax="47" xr10:uidLastSave="{00000000-0000-0000-0000-000000000000}"/>
  <bookViews>
    <workbookView xWindow="-120" yWindow="-120" windowWidth="20730" windowHeight="11040" firstSheet="2" activeTab="5" xr2:uid="{33557B9B-4A49-47B1-BABF-A87A4044C98D}"/>
  </bookViews>
  <sheets>
    <sheet name="00-COVER" sheetId="6" r:id="rId1"/>
    <sheet name="01-ASSUMPTIONS" sheetId="2" r:id="rId2"/>
    <sheet name="02-FINANCIAL ANALYSIS" sheetId="1" r:id="rId3"/>
    <sheet name="03-CASH FLOW" sheetId="3" r:id="rId4"/>
    <sheet name="04-VALUATION" sheetId="4" r:id="rId5"/>
    <sheet name="05-SCENARIO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5" l="1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G16" i="5"/>
  <c r="F16" i="5"/>
  <c r="P9" i="5"/>
  <c r="P8" i="5"/>
  <c r="O9" i="5"/>
  <c r="O10" i="5"/>
  <c r="O8" i="5"/>
  <c r="G8" i="4"/>
  <c r="G13" i="4"/>
  <c r="F9" i="4" s="1"/>
  <c r="H8" i="4"/>
  <c r="H9" i="4" s="1"/>
  <c r="I8" i="4"/>
  <c r="I9" i="4" s="1"/>
  <c r="J8" i="4"/>
  <c r="J9" i="4" s="1"/>
  <c r="K8" i="4"/>
  <c r="K9" i="4" s="1"/>
  <c r="L8" i="4"/>
  <c r="L9" i="4" s="1"/>
  <c r="M8" i="4"/>
  <c r="M9" i="4" s="1"/>
  <c r="N8" i="4"/>
  <c r="N9" i="4" s="1"/>
  <c r="O8" i="4"/>
  <c r="O9" i="4" s="1"/>
  <c r="P8" i="4"/>
  <c r="P9" i="4" s="1"/>
  <c r="Q8" i="4"/>
  <c r="Q9" i="4" s="1"/>
  <c r="R8" i="4"/>
  <c r="R9" i="4" s="1"/>
  <c r="S8" i="4"/>
  <c r="S9" i="4" s="1"/>
  <c r="T8" i="4"/>
  <c r="T9" i="4" s="1"/>
  <c r="U8" i="4"/>
  <c r="U9" i="4" s="1"/>
  <c r="V8" i="4"/>
  <c r="V9" i="4" s="1"/>
  <c r="W8" i="4"/>
  <c r="W9" i="4" s="1"/>
  <c r="X8" i="4"/>
  <c r="X9" i="4" s="1"/>
  <c r="Y8" i="4"/>
  <c r="Y9" i="4" s="1"/>
  <c r="Z8" i="4"/>
  <c r="Z9" i="4" s="1"/>
  <c r="M11" i="3"/>
  <c r="H7" i="3"/>
  <c r="H8" i="3" s="1"/>
  <c r="I7" i="3"/>
  <c r="I8" i="3" s="1"/>
  <c r="J7" i="3"/>
  <c r="J8" i="3" s="1"/>
  <c r="K7" i="3"/>
  <c r="K8" i="3" s="1"/>
  <c r="L7" i="3"/>
  <c r="L8" i="3" s="1"/>
  <c r="M7" i="3"/>
  <c r="M8" i="3" s="1"/>
  <c r="G7" i="3"/>
  <c r="G8" i="3" s="1"/>
  <c r="H5" i="3"/>
  <c r="I5" i="3"/>
  <c r="J5" i="3"/>
  <c r="K5" i="3"/>
  <c r="L5" i="3"/>
  <c r="M5" i="3"/>
  <c r="G5" i="3"/>
  <c r="H4" i="3"/>
  <c r="I4" i="3"/>
  <c r="J4" i="3"/>
  <c r="K4" i="3"/>
  <c r="L4" i="3"/>
  <c r="M4" i="3"/>
  <c r="G4" i="3"/>
  <c r="I28" i="1"/>
  <c r="H26" i="1"/>
  <c r="G26" i="1"/>
  <c r="F26" i="1"/>
  <c r="M13" i="4" l="1"/>
  <c r="G9" i="4"/>
  <c r="N13" i="4" s="1"/>
  <c r="P10" i="5"/>
  <c r="G6" i="3"/>
  <c r="G9" i="3" s="1"/>
  <c r="G10" i="3" s="1"/>
  <c r="M6" i="3"/>
  <c r="M9" i="3" s="1"/>
  <c r="M10" i="3" s="1"/>
  <c r="I6" i="3"/>
  <c r="I9" i="3" s="1"/>
  <c r="I10" i="3" s="1"/>
  <c r="H6" i="3"/>
  <c r="H9" i="3" s="1"/>
  <c r="H10" i="3" s="1"/>
  <c r="J6" i="3"/>
  <c r="J9" i="3" s="1"/>
  <c r="J10" i="3" s="1"/>
  <c r="L6" i="3"/>
  <c r="L9" i="3" s="1"/>
  <c r="L10" i="3" s="1"/>
  <c r="K6" i="3"/>
  <c r="K9" i="3" s="1"/>
  <c r="K10" i="3" s="1"/>
  <c r="G12" i="3" l="1"/>
  <c r="H12" i="3" s="1"/>
  <c r="I12" i="3" s="1"/>
  <c r="J12" i="3" s="1"/>
  <c r="K12" i="3" s="1"/>
  <c r="L12" i="3" s="1"/>
  <c r="M1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</authors>
  <commentList>
    <comment ref="E14" authorId="0" shapeId="0" xr:uid="{D4EA91E0-6996-496E-916B-0347DF24CA19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Emprunts obligataires et autres dettes de financement a 0 donc elle fonctionne structurellement sans dettes financiere a long terme
</t>
        </r>
      </text>
    </comment>
    <comment ref="E16" authorId="0" shapeId="0" xr:uid="{564404BC-36E3-4D32-838E-BA9A70DD304A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la trésorerie nette est négative Ça ne veut pas dire que l'entreprise va mal c'est juste une gestion de trésorerie courante tendue à très court terme</t>
        </r>
      </text>
    </comment>
    <comment ref="H19" authorId="0" shapeId="0" xr:uid="{C67FE0FF-B492-428A-8588-92BEBFF50C89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le rapport mentionne aussi 202 et 185 selon les sections</t>
        </r>
      </text>
    </comment>
    <comment ref="H32" authorId="0" shapeId="0" xr:uid="{04DCBA5A-6075-4495-8EA4-DEC4342C2622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capacite dendettement quasi intacte
</t>
        </r>
      </text>
    </comment>
    <comment ref="H33" authorId="0" shapeId="0" xr:uid="{C28989BF-CD04-4A86-95CD-3DFB3B27C043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cest extrement faible et soutenable pour nimporte quel investisseur obligataire car il est en dessous de 2-3x donc sain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</authors>
  <commentList>
    <comment ref="M12" authorId="0" shapeId="0" xr:uid="{755037D0-3343-4552-846A-EBBAB4E816A9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Cash accumulé couvre entierement les 119 MDH a rembourser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</authors>
  <commentList>
    <comment ref="M13" authorId="0" shapeId="0" xr:uid="{7DC8A6C8-5191-4C87-AA90-2B9C07F7AFCF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en MDH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</authors>
  <commentList>
    <comment ref="K7" authorId="0" shapeId="0" xr:uid="{535D66A7-4AED-48B7-BBAC-82A5640948F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MWH/MW</t>
        </r>
      </text>
    </comment>
    <comment ref="L7" authorId="0" shapeId="0" xr:uid="{9A04BEAE-CA4C-4000-81BC-4D301EC4956B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MAD/kWh
</t>
        </r>
      </text>
    </comment>
    <comment ref="M7" authorId="0" shapeId="0" xr:uid="{64081AA2-9357-4862-B65D-C55395D35CC0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MDH
</t>
        </r>
      </text>
    </comment>
    <comment ref="P8" authorId="0" shapeId="0" xr:uid="{AB64D39C-3177-4E65-81B0-EFD7A321ECDB}">
      <text>
        <r>
          <rPr>
            <b/>
            <sz val="9"/>
            <color indexed="81"/>
            <rFont val="Tahoma"/>
            <charset val="1"/>
          </rPr>
          <t>Utilisateur:</t>
        </r>
        <r>
          <rPr>
            <sz val="9"/>
            <color indexed="81"/>
            <rFont val="Tahoma"/>
            <charset val="1"/>
          </rPr>
          <t xml:space="preserve">
meme iles un scinario pessimiste le trix est superieur dw 1% par rapport au cout du capital</t>
        </r>
      </text>
    </comment>
  </commentList>
</comments>
</file>

<file path=xl/sharedStrings.xml><?xml version="1.0" encoding="utf-8"?>
<sst xmlns="http://schemas.openxmlformats.org/spreadsheetml/2006/main" count="117" uniqueCount="115">
  <si>
    <t>CA
(operationnel)</t>
  </si>
  <si>
    <t>EBE
(EBITDA)</t>
  </si>
  <si>
    <t xml:space="preserve">Resultat
dexploitation </t>
  </si>
  <si>
    <t xml:space="preserve">Resultat
NET </t>
  </si>
  <si>
    <t>CAF</t>
  </si>
  <si>
    <t>Dette
Financiere</t>
  </si>
  <si>
    <t>TRESORIE</t>
  </si>
  <si>
    <t>Capitaux
propres</t>
  </si>
  <si>
    <t>CAPEX
historique</t>
  </si>
  <si>
    <t>source : Rapports financiers annuels 2023 et 2024 ciments du maroc , cimentsdumaroc.com</t>
  </si>
  <si>
    <t>Puissance
installe</t>
  </si>
  <si>
    <t>Cout
unitaire</t>
  </si>
  <si>
    <t>CAPEX (total)</t>
  </si>
  <si>
    <t>Hypothese</t>
  </si>
  <si>
    <t xml:space="preserve">Valeur </t>
  </si>
  <si>
    <t>justification</t>
  </si>
  <si>
    <t xml:space="preserve">Estimation dans la fourchette
 de marche inferieur a 10 DH/WC 
pour instalation photovoltaiques industrielles au maroc (FNH,article sur les energies renouvlables au maroc ) </t>
  </si>
  <si>
    <t>17 MW</t>
  </si>
  <si>
    <t xml:space="preserve"> 7 DH/Wc</t>
  </si>
  <si>
    <t xml:space="preserve">=17000000Wc *7Dh/Wc 
</t>
  </si>
  <si>
    <t>Puissance total du programme : tafukt 10MW a ait baha + chems 7MW a SAFI (Rapport financier annuel 2024, ciments du maroc)</t>
  </si>
  <si>
    <t xml:space="preserve">      Calcul des ratios et interpretation</t>
  </si>
  <si>
    <t>Marge
EBITDA</t>
  </si>
  <si>
    <t>Rendement</t>
  </si>
  <si>
    <t>Production
 annuelle</t>
  </si>
  <si>
    <t>28900 MWH/an</t>
  </si>
  <si>
    <t>1700MWh/MW/an</t>
  </si>
  <si>
    <t>1700MW*1700
 (pour le programme tafukt et chems)</t>
  </si>
  <si>
    <t xml:space="preserve"> la valeur medianne de la fourchette du rendement 
de projets solaires marocains comparables 
(Nexans mohammedia: 1571 et Noor tafilalet 
erfoud : 1800)</t>
  </si>
  <si>
    <t>Prix 
electricite</t>
  </si>
  <si>
    <t>Economie 
annelle estimee</t>
  </si>
  <si>
    <t>0,80 MAD/kWh</t>
  </si>
  <si>
    <t>= 28900 * 0,8</t>
  </si>
  <si>
    <t>Taux 
dactualisation</t>
  </si>
  <si>
    <t>Coupon</t>
  </si>
  <si>
    <t>Par analogie avec l'émission obligataire OCP de décembre 2024 (comparable industriel marocain) :
 son taux de référence dapres  courbe BT est de 3,36% + prime de risque de (40-50 pbs).on a ajuste  Prime  à 75 pbs pour Ciments du Maroc car un émetteur privé, non quasi-souverain pas assez sur comme OCP</t>
  </si>
  <si>
    <t>Proxy standard du WACC pour un projet industriel au Maroc,en l'absence de données internes précises (structure actionnariale, bêta..).
 Volontairement supérieur au coupon de la dette (4,0%) car il intègre l'exigence de rendement des actionnaires élevée a celle des créancier obligataires.</t>
  </si>
  <si>
    <t xml:space="preserve">Les gros consommateurs indus en haute tention leurs
tarifs se situent dans partie basse de  fourchette 
officielle 0,60-2 DH/kWh </t>
  </si>
  <si>
    <t xml:space="preserve">OPEX = 1,5% du
 CAPEX </t>
  </si>
  <si>
    <t xml:space="preserve">on a utilise un  benchmark international (IRENA) courant pour
 l'O&amp;M solaire industriel a cause dabscence de source marocaine spécifique </t>
  </si>
  <si>
    <t>Economie
delectricite</t>
  </si>
  <si>
    <t>OPEX 
(maintenance)</t>
  </si>
  <si>
    <t>Cash-flow 
net avant dette</t>
  </si>
  <si>
    <t>Intérêts Green
 Bond</t>
  </si>
  <si>
    <t>Cash-flow net
 après dette</t>
  </si>
  <si>
    <t>Remboursement 
capital</t>
  </si>
  <si>
    <t>Cash flow 
Net</t>
  </si>
  <si>
    <t>annee 1</t>
  </si>
  <si>
    <t>annee 2</t>
  </si>
  <si>
    <t>annee 3</t>
  </si>
  <si>
    <t>annee 4</t>
  </si>
  <si>
    <t>annee 5</t>
  </si>
  <si>
    <t>annee 6</t>
  </si>
  <si>
    <t>annee 7</t>
  </si>
  <si>
    <t>annee 8</t>
  </si>
  <si>
    <t>annee 9</t>
  </si>
  <si>
    <t>annee 10</t>
  </si>
  <si>
    <t>annee 11</t>
  </si>
  <si>
    <t>annee 12</t>
  </si>
  <si>
    <t>annee 13</t>
  </si>
  <si>
    <t>annee 14</t>
  </si>
  <si>
    <t>annee 15</t>
  </si>
  <si>
    <t>annee 16</t>
  </si>
  <si>
    <t>annee 17</t>
  </si>
  <si>
    <t>annee 18</t>
  </si>
  <si>
    <t>annee 19</t>
  </si>
  <si>
    <t>annee 20</t>
  </si>
  <si>
    <t>Test de capacité de remboursement du Green Bond flux annuels 2025-2031</t>
  </si>
  <si>
    <t>Année 2025</t>
  </si>
  <si>
    <t>Année 2026</t>
  </si>
  <si>
    <t>Année 2027</t>
  </si>
  <si>
    <t>Année 2028</t>
  </si>
  <si>
    <t>Année 2029</t>
  </si>
  <si>
    <t>Année 2030</t>
  </si>
  <si>
    <t>Année 2031</t>
  </si>
  <si>
    <t>Cash cumulé</t>
  </si>
  <si>
    <t>Annee 0</t>
  </si>
  <si>
    <t>CAPEX</t>
  </si>
  <si>
    <t>VAN</t>
  </si>
  <si>
    <t>TRI</t>
  </si>
  <si>
    <t>Pessimiste</t>
  </si>
  <si>
    <t>Central</t>
  </si>
  <si>
    <t>Optimiste</t>
  </si>
  <si>
    <t>Prix elec</t>
  </si>
  <si>
    <t xml:space="preserve">Economie annuelle </t>
  </si>
  <si>
    <t>Van</t>
  </si>
  <si>
    <t>0,756 tCO2/MWh</t>
  </si>
  <si>
    <t>CO₂ évité</t>
  </si>
  <si>
    <t xml:space="preserve"> 21 848 tCO2/an</t>
  </si>
  <si>
    <t>(donnée 2019, ecoactu.ma). Probablement légèrement
 surestimé car Le facteur d'émission réel en 2024-2025 est probablement plus bas que 0,756 grace a lengagement du maroc aux energies renouvlables</t>
  </si>
  <si>
    <r>
      <t xml:space="preserve">28 900 MWh/an × 0,756 tCO₂/MWh = </t>
    </r>
    <r>
      <rPr>
        <b/>
        <sz val="11"/>
        <color theme="1"/>
        <rFont val="Aptos Narrow"/>
        <family val="2"/>
        <scheme val="minor"/>
      </rPr>
      <t>21 848 tonnes de 
CO₂ évitées par an</t>
    </r>
  </si>
  <si>
    <t>DETTE
court terme</t>
  </si>
  <si>
    <t xml:space="preserve">Dette nette </t>
  </si>
  <si>
    <t>Taux dIS</t>
  </si>
  <si>
    <t>barème IS marocain 2026, grandes entreprises
 (bénéfice net ≥ 100 MDH)</t>
  </si>
  <si>
    <t>Coupon apres IS</t>
  </si>
  <si>
    <t>4,0% × (1-35%) = 2,6%</t>
  </si>
  <si>
    <t>Economie 
impot sur 
interet</t>
  </si>
  <si>
    <t>Cash-flow
net apres dette et impot</t>
  </si>
  <si>
    <t>Facteur d'émiss-
ion</t>
  </si>
  <si>
    <t>1- Marge EBITDA (EBE/CA)</t>
  </si>
  <si>
    <t>2-Croissance du CA (2022-2024)</t>
  </si>
  <si>
    <t>3 -Dettes / EBITDA</t>
  </si>
  <si>
    <r>
      <t xml:space="preserve">Avant emission du green bond :     Ratio =    104,6/ 1779 =     </t>
    </r>
    <r>
      <rPr>
        <b/>
        <sz val="14"/>
        <color rgb="FF989800"/>
        <rFont val="Aptos Narrow"/>
        <family val="2"/>
        <scheme val="minor"/>
      </rPr>
      <t xml:space="preserve">   0,059x</t>
    </r>
  </si>
  <si>
    <r>
      <t xml:space="preserve">Avant emission du green bond :     Ratio =(104,6+119) =          </t>
    </r>
    <r>
      <rPr>
        <b/>
        <sz val="14"/>
        <color rgb="FF989800"/>
        <rFont val="Aptos Narrow"/>
        <family val="2"/>
        <scheme val="minor"/>
      </rPr>
      <t xml:space="preserve"> 0,126x</t>
    </r>
  </si>
  <si>
    <t>1 -   Changement de la VAN  et le TRI selon differents scenarios :</t>
  </si>
  <si>
    <t>Étude de faisabilité d'un Green Bond   Programme photovoltaïque Ciments du Maroc  : un Modèle financier  17 MW (Tafukt + Chems), avec un  cAPEX de  119 MDH</t>
  </si>
  <si>
    <r>
      <t>SUJET :</t>
    </r>
    <r>
      <rPr>
        <sz val="24"/>
        <color rgb="FF005E00"/>
        <rFont val="Aptos Narrow"/>
        <family val="2"/>
        <scheme val="minor"/>
      </rPr>
      <t xml:space="preserve"> Une Étude de faisabilité d'un Green Bond  :  Programme photovoltaïque Ciments du Maroc</t>
    </r>
  </si>
  <si>
    <r>
      <t>Projet :</t>
    </r>
    <r>
      <rPr>
        <sz val="24"/>
        <color rgb="FF005E00"/>
        <rFont val="Aptos Narrow"/>
        <family val="2"/>
        <scheme val="minor"/>
      </rPr>
      <t xml:space="preserve"> Modèle financier  17 MW (Tafukt + Chems), CAPEX 119 MDH</t>
    </r>
  </si>
  <si>
    <r>
      <t xml:space="preserve">Realise par : </t>
    </r>
    <r>
      <rPr>
        <sz val="24"/>
        <color rgb="FF005E00"/>
        <rFont val="Aptos Narrow"/>
        <family val="2"/>
        <scheme val="minor"/>
      </rPr>
      <t xml:space="preserve">OUIDAD RAJAE </t>
    </r>
  </si>
  <si>
    <t xml:space="preserve">Des hypotheses : </t>
  </si>
  <si>
    <r>
      <t xml:space="preserve">     </t>
    </r>
    <r>
      <rPr>
        <sz val="18"/>
        <color theme="5" tint="-0.249977111117893"/>
        <rFont val="Aptos Narrow"/>
        <family val="2"/>
        <scheme val="minor"/>
      </rPr>
      <t xml:space="preserve"> Donnees consolidees en MMAD</t>
    </r>
  </si>
  <si>
    <t xml:space="preserve">                 (CA du N-2 -CA du N)/CA du N=  </t>
  </si>
  <si>
    <t xml:space="preserve">Calcul du cash flow : </t>
  </si>
  <si>
    <t xml:space="preserve">Calcul de la VAN et le TRI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</si>
</sst>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5" tint="-0.249977111117893"/>
      <name val="Aptos Narrow"/>
      <family val="2"/>
      <scheme val="minor"/>
    </font>
    <font>
      <sz val="14"/>
      <color theme="6" tint="-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6"/>
      <name val="Aptos Narrow"/>
      <family val="2"/>
      <scheme val="minor"/>
    </font>
    <font>
      <sz val="14"/>
      <color rgb="FF7F3F00"/>
      <name val="Aptos Narrow"/>
      <family val="2"/>
      <scheme val="minor"/>
    </font>
    <font>
      <sz val="16"/>
      <color rgb="FF9898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4"/>
      <color rgb="FF989800"/>
      <name val="Aptos Narrow"/>
      <family val="2"/>
      <scheme val="minor"/>
    </font>
    <font>
      <sz val="14"/>
      <color rgb="FF9898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24"/>
      <color rgb="FF989800"/>
      <name val="Aptos Narrow"/>
      <family val="2"/>
      <scheme val="minor"/>
    </font>
    <font>
      <sz val="20"/>
      <color rgb="FF9898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5" tint="-0.249977111117893"/>
      <name val="Aptos Narrow"/>
      <family val="2"/>
      <scheme val="minor"/>
    </font>
    <font>
      <sz val="24"/>
      <color rgb="FF005E00"/>
      <name val="Aptos Narrow"/>
      <family val="2"/>
      <scheme val="minor"/>
    </font>
    <font>
      <sz val="18"/>
      <color rgb="FF005E00"/>
      <name val="Aptos Narrow"/>
      <family val="2"/>
      <scheme val="minor"/>
    </font>
    <font>
      <sz val="18"/>
      <color theme="5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189F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wrapText="1"/>
    </xf>
    <xf numFmtId="0" fontId="3" fillId="0" borderId="0" xfId="0" applyFont="1"/>
    <xf numFmtId="0" fontId="0" fillId="0" borderId="0" xfId="0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164" fontId="5" fillId="2" borderId="0" xfId="1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0" fontId="13" fillId="0" borderId="2" xfId="0" applyNumberFormat="1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0" fontId="16" fillId="0" borderId="1" xfId="0" applyFont="1" applyBorder="1"/>
    <xf numFmtId="0" fontId="2" fillId="0" borderId="0" xfId="0" applyFont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 vertical="center"/>
    </xf>
    <xf numFmtId="9" fontId="22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2" fontId="22" fillId="0" borderId="1" xfId="1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7" fillId="0" borderId="0" xfId="0" applyFont="1"/>
    <xf numFmtId="0" fontId="24" fillId="0" borderId="1" xfId="0" applyFont="1" applyBorder="1"/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9" fontId="25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18" fillId="0" borderId="0" xfId="0" applyFont="1"/>
    <xf numFmtId="0" fontId="28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133946</xdr:colOff>
      <xdr:row>2</xdr:row>
      <xdr:rowOff>0</xdr:rowOff>
    </xdr:from>
    <xdr:to>
      <xdr:col>28</xdr:col>
      <xdr:colOff>520898</xdr:colOff>
      <xdr:row>15</xdr:row>
      <xdr:rowOff>56346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B78FD9-2C4E-8662-C8A3-08A0D24BA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7266" y="386953"/>
          <a:ext cx="7099101" cy="2571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B554-774D-4EAF-9C6D-C3E3F5A0B463}">
  <dimension ref="M8:GS21"/>
  <sheetViews>
    <sheetView topLeftCell="G1" zoomScale="62" workbookViewId="0">
      <selection activeCell="K10" sqref="K10"/>
    </sheetView>
  </sheetViews>
  <sheetFormatPr defaultRowHeight="15" x14ac:dyDescent="0.25"/>
  <sheetData>
    <row r="8" spans="201:201" x14ac:dyDescent="0.25">
      <c r="GS8" t="s">
        <v>106</v>
      </c>
    </row>
    <row r="17" spans="13:31" ht="31.5" x14ac:dyDescent="0.25">
      <c r="M17" s="56" t="s">
        <v>107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3:31" x14ac:dyDescent="0.25"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3:31" ht="31.5" x14ac:dyDescent="0.25">
      <c r="M19" s="56" t="s">
        <v>108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3:31" x14ac:dyDescent="0.25"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3:31" ht="31.5" x14ac:dyDescent="0.25">
      <c r="M21" s="56" t="s">
        <v>109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0F51-323A-4801-B6A8-F58E2379AD14}">
  <dimension ref="E5:I21"/>
  <sheetViews>
    <sheetView topLeftCell="A5" zoomScale="84" zoomScaleNormal="79" workbookViewId="0">
      <selection activeCell="E6" sqref="E6"/>
    </sheetView>
  </sheetViews>
  <sheetFormatPr defaultRowHeight="15" x14ac:dyDescent="0.25"/>
  <cols>
    <col min="6" max="6" width="7" customWidth="1"/>
    <col min="7" max="7" width="20.42578125" customWidth="1"/>
    <col min="8" max="8" width="21.42578125" customWidth="1"/>
    <col min="9" max="9" width="49.28515625" customWidth="1"/>
  </cols>
  <sheetData>
    <row r="5" spans="5:9" ht="29.25" customHeight="1" x14ac:dyDescent="0.25"/>
    <row r="6" spans="5:9" ht="30" customHeight="1" x14ac:dyDescent="0.25">
      <c r="E6" s="57" t="s">
        <v>110</v>
      </c>
    </row>
    <row r="7" spans="5:9" ht="30" customHeight="1" x14ac:dyDescent="0.25">
      <c r="G7" s="31" t="s">
        <v>13</v>
      </c>
      <c r="H7" s="31" t="s">
        <v>14</v>
      </c>
      <c r="I7" s="31" t="s">
        <v>15</v>
      </c>
    </row>
    <row r="8" spans="5:9" ht="58.5" customHeight="1" x14ac:dyDescent="0.25">
      <c r="G8" s="29" t="s">
        <v>10</v>
      </c>
      <c r="H8" s="24" t="s">
        <v>17</v>
      </c>
      <c r="I8" s="5" t="s">
        <v>20</v>
      </c>
    </row>
    <row r="9" spans="5:9" ht="75" x14ac:dyDescent="0.25">
      <c r="G9" s="29" t="s">
        <v>11</v>
      </c>
      <c r="H9" s="24" t="s">
        <v>18</v>
      </c>
      <c r="I9" s="5" t="s">
        <v>16</v>
      </c>
    </row>
    <row r="10" spans="5:9" ht="50.25" customHeight="1" x14ac:dyDescent="0.25">
      <c r="G10" s="28" t="s">
        <v>12</v>
      </c>
      <c r="H10" s="24">
        <v>119</v>
      </c>
      <c r="I10" s="10" t="s">
        <v>19</v>
      </c>
    </row>
    <row r="11" spans="5:9" ht="60" x14ac:dyDescent="0.25">
      <c r="G11" s="28" t="s">
        <v>23</v>
      </c>
      <c r="H11" s="24" t="s">
        <v>26</v>
      </c>
      <c r="I11" s="5" t="s">
        <v>28</v>
      </c>
    </row>
    <row r="12" spans="5:9" ht="99.75" customHeight="1" x14ac:dyDescent="0.25">
      <c r="G12" s="29" t="s">
        <v>24</v>
      </c>
      <c r="H12" s="24" t="s">
        <v>25</v>
      </c>
      <c r="I12" s="5" t="s">
        <v>27</v>
      </c>
    </row>
    <row r="13" spans="5:9" ht="47.25" customHeight="1" x14ac:dyDescent="0.25">
      <c r="G13" s="29" t="s">
        <v>29</v>
      </c>
      <c r="H13" s="24" t="s">
        <v>31</v>
      </c>
      <c r="I13" s="5" t="s">
        <v>37</v>
      </c>
    </row>
    <row r="14" spans="5:9" ht="42.75" customHeight="1" x14ac:dyDescent="0.25">
      <c r="G14" s="29" t="s">
        <v>30</v>
      </c>
      <c r="H14" s="24">
        <v>23.1</v>
      </c>
      <c r="I14" s="9" t="s">
        <v>32</v>
      </c>
    </row>
    <row r="15" spans="5:9" ht="102.75" customHeight="1" x14ac:dyDescent="0.25">
      <c r="G15" s="30" t="s">
        <v>34</v>
      </c>
      <c r="H15" s="25">
        <v>0.04</v>
      </c>
      <c r="I15" s="17" t="s">
        <v>35</v>
      </c>
    </row>
    <row r="16" spans="5:9" ht="30" x14ac:dyDescent="0.25">
      <c r="G16" s="30" t="s">
        <v>93</v>
      </c>
      <c r="H16" s="25">
        <v>0.35</v>
      </c>
      <c r="I16" s="5" t="s">
        <v>94</v>
      </c>
    </row>
    <row r="17" spans="7:9" ht="60" customHeight="1" x14ac:dyDescent="0.25">
      <c r="G17" s="30" t="s">
        <v>95</v>
      </c>
      <c r="H17" s="25">
        <v>2.5999999999999999E-2</v>
      </c>
      <c r="I17" s="2" t="s">
        <v>96</v>
      </c>
    </row>
    <row r="18" spans="7:9" ht="41.25" customHeight="1" x14ac:dyDescent="0.25">
      <c r="G18" s="29" t="s">
        <v>33</v>
      </c>
      <c r="H18" s="26">
        <v>0.08</v>
      </c>
      <c r="I18" s="5" t="s">
        <v>36</v>
      </c>
    </row>
    <row r="19" spans="7:9" ht="60" x14ac:dyDescent="0.25">
      <c r="G19" s="29" t="s">
        <v>38</v>
      </c>
      <c r="H19" s="24">
        <v>1.8</v>
      </c>
      <c r="I19" s="5" t="s">
        <v>39</v>
      </c>
    </row>
    <row r="20" spans="7:9" ht="60.75" customHeight="1" x14ac:dyDescent="0.25">
      <c r="G20" s="29" t="s">
        <v>99</v>
      </c>
      <c r="H20" s="24" t="s">
        <v>86</v>
      </c>
      <c r="I20" s="5" t="s">
        <v>89</v>
      </c>
    </row>
    <row r="21" spans="7:9" ht="45.75" customHeight="1" x14ac:dyDescent="0.25">
      <c r="G21" s="29" t="s">
        <v>87</v>
      </c>
      <c r="H21" s="24" t="s">
        <v>88</v>
      </c>
      <c r="I21" s="5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CD27-6846-4A39-A546-4B02E3F03E4B}">
  <dimension ref="B4:I34"/>
  <sheetViews>
    <sheetView topLeftCell="A3" zoomScale="82" workbookViewId="0">
      <selection activeCell="C6" sqref="C6"/>
    </sheetView>
  </sheetViews>
  <sheetFormatPr defaultRowHeight="15" x14ac:dyDescent="0.25"/>
  <cols>
    <col min="4" max="4" width="5.85546875" customWidth="1"/>
    <col min="5" max="5" width="29.140625" customWidth="1"/>
    <col min="6" max="6" width="16.140625" customWidth="1"/>
    <col min="7" max="7" width="16.28515625" customWidth="1"/>
    <col min="8" max="8" width="16.5703125" customWidth="1"/>
    <col min="9" max="9" width="11.140625" customWidth="1"/>
  </cols>
  <sheetData>
    <row r="4" spans="2:8" x14ac:dyDescent="0.25">
      <c r="B4" s="1"/>
      <c r="C4" s="1"/>
      <c r="D4" s="1"/>
      <c r="E4" s="1"/>
    </row>
    <row r="6" spans="2:8" ht="24" x14ac:dyDescent="0.4">
      <c r="B6" s="58" t="s">
        <v>111</v>
      </c>
      <c r="C6" s="58"/>
      <c r="D6" s="58"/>
      <c r="E6" s="58"/>
    </row>
    <row r="8" spans="2:8" ht="30.75" customHeight="1" x14ac:dyDescent="0.25">
      <c r="F8" s="7">
        <v>2022</v>
      </c>
      <c r="G8" s="7">
        <v>2023</v>
      </c>
      <c r="H8" s="7">
        <v>2024</v>
      </c>
    </row>
    <row r="9" spans="2:8" ht="51" customHeight="1" x14ac:dyDescent="0.25">
      <c r="E9" s="32" t="s">
        <v>0</v>
      </c>
      <c r="F9" s="6">
        <v>4043</v>
      </c>
      <c r="G9" s="6">
        <v>4305</v>
      </c>
      <c r="H9" s="6">
        <v>4364</v>
      </c>
    </row>
    <row r="10" spans="2:8" ht="50.25" customHeight="1" x14ac:dyDescent="0.25">
      <c r="E10" s="32" t="s">
        <v>1</v>
      </c>
      <c r="F10" s="6">
        <v>1587</v>
      </c>
      <c r="G10" s="6">
        <v>1654</v>
      </c>
      <c r="H10" s="6">
        <v>1779</v>
      </c>
    </row>
    <row r="11" spans="2:8" ht="37.5" x14ac:dyDescent="0.25">
      <c r="E11" s="32" t="s">
        <v>2</v>
      </c>
      <c r="F11" s="6">
        <v>1327</v>
      </c>
      <c r="G11" s="6">
        <v>1428</v>
      </c>
      <c r="H11" s="6">
        <v>1557</v>
      </c>
    </row>
    <row r="12" spans="2:8" ht="37.5" x14ac:dyDescent="0.25">
      <c r="E12" s="32" t="s">
        <v>3</v>
      </c>
      <c r="F12" s="6">
        <v>917</v>
      </c>
      <c r="G12" s="6">
        <v>994</v>
      </c>
      <c r="H12" s="6">
        <v>935</v>
      </c>
    </row>
    <row r="13" spans="2:8" ht="39.75" customHeight="1" x14ac:dyDescent="0.25">
      <c r="E13" s="7" t="s">
        <v>4</v>
      </c>
      <c r="F13" s="6">
        <v>1146</v>
      </c>
      <c r="G13" s="6">
        <v>1171</v>
      </c>
      <c r="H13" s="6">
        <v>1315</v>
      </c>
    </row>
    <row r="14" spans="2:8" ht="48.75" customHeight="1" x14ac:dyDescent="0.25">
      <c r="E14" s="32" t="s">
        <v>5</v>
      </c>
      <c r="F14" s="6">
        <v>0</v>
      </c>
      <c r="G14" s="6">
        <v>0</v>
      </c>
      <c r="H14" s="6">
        <v>0</v>
      </c>
    </row>
    <row r="15" spans="2:8" ht="51.75" customHeight="1" x14ac:dyDescent="0.25">
      <c r="E15" s="32" t="s">
        <v>91</v>
      </c>
      <c r="F15" s="20">
        <v>140</v>
      </c>
      <c r="G15" s="6">
        <v>187.7</v>
      </c>
      <c r="H15" s="6">
        <v>186.6</v>
      </c>
    </row>
    <row r="16" spans="2:8" ht="35.25" customHeight="1" x14ac:dyDescent="0.25">
      <c r="E16" s="3" t="s">
        <v>6</v>
      </c>
      <c r="F16" s="6">
        <v>73.8</v>
      </c>
      <c r="G16" s="6">
        <v>88.3</v>
      </c>
      <c r="H16" s="6">
        <v>82</v>
      </c>
    </row>
    <row r="17" spans="2:9" ht="42.75" customHeight="1" x14ac:dyDescent="0.25">
      <c r="E17" s="3" t="s">
        <v>92</v>
      </c>
      <c r="F17" s="6">
        <v>66.2</v>
      </c>
      <c r="G17" s="6">
        <v>99.4</v>
      </c>
      <c r="H17" s="6">
        <v>104.6</v>
      </c>
    </row>
    <row r="18" spans="2:9" ht="44.25" customHeight="1" x14ac:dyDescent="0.25">
      <c r="E18" s="27" t="s">
        <v>7</v>
      </c>
      <c r="F18" s="33">
        <v>3193.4</v>
      </c>
      <c r="G18" s="34">
        <v>3308.9</v>
      </c>
      <c r="H18" s="34">
        <v>3197.8</v>
      </c>
    </row>
    <row r="19" spans="2:9" ht="50.25" customHeight="1" x14ac:dyDescent="0.25">
      <c r="E19" s="27" t="s">
        <v>8</v>
      </c>
      <c r="F19" s="35"/>
      <c r="G19" s="6">
        <v>166.2</v>
      </c>
      <c r="H19" s="6">
        <v>191.9</v>
      </c>
    </row>
    <row r="20" spans="2:9" x14ac:dyDescent="0.25">
      <c r="E20" t="s">
        <v>9</v>
      </c>
    </row>
    <row r="23" spans="2:9" ht="18.75" x14ac:dyDescent="0.3">
      <c r="B23" s="11" t="s">
        <v>21</v>
      </c>
    </row>
    <row r="24" spans="2:9" ht="18.75" x14ac:dyDescent="0.3">
      <c r="D24" s="4" t="s">
        <v>100</v>
      </c>
    </row>
    <row r="25" spans="2:9" ht="18.75" x14ac:dyDescent="0.25">
      <c r="E25" s="12"/>
      <c r="F25" s="3">
        <v>2022</v>
      </c>
      <c r="G25" s="3">
        <v>2023</v>
      </c>
      <c r="H25" s="3">
        <v>2024</v>
      </c>
    </row>
    <row r="26" spans="2:9" ht="30" x14ac:dyDescent="0.25">
      <c r="E26" s="5" t="s">
        <v>22</v>
      </c>
      <c r="F26" s="13">
        <f>F10/F9</f>
        <v>0.39253029928271088</v>
      </c>
      <c r="G26" s="13">
        <f>G10/G9</f>
        <v>0.38420441347270617</v>
      </c>
      <c r="H26" s="13">
        <f>H10/H9</f>
        <v>0.40765352887259393</v>
      </c>
    </row>
    <row r="28" spans="2:9" ht="18.75" x14ac:dyDescent="0.3">
      <c r="D28" s="36" t="s">
        <v>101</v>
      </c>
      <c r="F28" s="21" t="s">
        <v>112</v>
      </c>
      <c r="G28" s="21"/>
      <c r="H28" s="21"/>
      <c r="I28" s="14">
        <f>(H9-F9)/H9</f>
        <v>7.3556370302474791E-2</v>
      </c>
    </row>
    <row r="31" spans="2:9" ht="18.75" x14ac:dyDescent="0.3">
      <c r="D31" s="4" t="s">
        <v>102</v>
      </c>
    </row>
    <row r="32" spans="2:9" ht="18.75" x14ac:dyDescent="0.3">
      <c r="E32" s="4" t="s">
        <v>103</v>
      </c>
      <c r="I32" s="15"/>
    </row>
    <row r="33" spans="5:8" ht="18.75" x14ac:dyDescent="0.3">
      <c r="E33" s="4" t="s">
        <v>104</v>
      </c>
    </row>
    <row r="34" spans="5:8" x14ac:dyDescent="0.25">
      <c r="E34" s="22"/>
      <c r="F34" s="22"/>
      <c r="G34" s="22"/>
    </row>
  </sheetData>
  <mergeCells count="2">
    <mergeCell ref="F28:H28"/>
    <mergeCell ref="E34:G3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B5B8-0016-4F10-BD3B-EBF84EC2F5C4}">
  <dimension ref="D2:M13"/>
  <sheetViews>
    <sheetView zoomScale="76" workbookViewId="0">
      <selection activeCell="O4" sqref="O4"/>
    </sheetView>
  </sheetViews>
  <sheetFormatPr defaultRowHeight="15" x14ac:dyDescent="0.25"/>
  <cols>
    <col min="6" max="6" width="16.42578125" customWidth="1"/>
    <col min="7" max="13" width="14.85546875" bestFit="1" customWidth="1"/>
  </cols>
  <sheetData>
    <row r="2" spans="4:13" ht="24" x14ac:dyDescent="0.25">
      <c r="D2" s="1"/>
      <c r="E2" s="59" t="s">
        <v>113</v>
      </c>
    </row>
    <row r="3" spans="4:13" ht="33" customHeight="1" x14ac:dyDescent="0.25">
      <c r="G3" s="37" t="s">
        <v>68</v>
      </c>
      <c r="H3" s="37" t="s">
        <v>69</v>
      </c>
      <c r="I3" s="37" t="s">
        <v>70</v>
      </c>
      <c r="J3" s="37" t="s">
        <v>71</v>
      </c>
      <c r="K3" s="37" t="s">
        <v>72</v>
      </c>
      <c r="L3" s="37" t="s">
        <v>73</v>
      </c>
      <c r="M3" s="37" t="s">
        <v>74</v>
      </c>
    </row>
    <row r="4" spans="4:13" ht="39" customHeight="1" x14ac:dyDescent="0.25">
      <c r="F4" s="39" t="s">
        <v>40</v>
      </c>
      <c r="G4" s="8">
        <f>'01-ASSUMPTIONS'!$H$14</f>
        <v>23.1</v>
      </c>
      <c r="H4" s="8">
        <f>'01-ASSUMPTIONS'!$H$14</f>
        <v>23.1</v>
      </c>
      <c r="I4" s="8">
        <f>'01-ASSUMPTIONS'!$H$14</f>
        <v>23.1</v>
      </c>
      <c r="J4" s="8">
        <f>'01-ASSUMPTIONS'!$H$14</f>
        <v>23.1</v>
      </c>
      <c r="K4" s="8">
        <f>'01-ASSUMPTIONS'!$H$14</f>
        <v>23.1</v>
      </c>
      <c r="L4" s="8">
        <f>'01-ASSUMPTIONS'!$H$14</f>
        <v>23.1</v>
      </c>
      <c r="M4" s="8">
        <f>'01-ASSUMPTIONS'!$H$14</f>
        <v>23.1</v>
      </c>
    </row>
    <row r="5" spans="4:13" ht="36.75" customHeight="1" x14ac:dyDescent="0.25">
      <c r="F5" s="39" t="s">
        <v>41</v>
      </c>
      <c r="G5" s="8">
        <f>-'01-ASSUMPTIONS'!$H$19</f>
        <v>-1.8</v>
      </c>
      <c r="H5" s="8">
        <f>-'01-ASSUMPTIONS'!$H$19</f>
        <v>-1.8</v>
      </c>
      <c r="I5" s="8">
        <f>-'01-ASSUMPTIONS'!$H$19</f>
        <v>-1.8</v>
      </c>
      <c r="J5" s="8">
        <f>-'01-ASSUMPTIONS'!$H$19</f>
        <v>-1.8</v>
      </c>
      <c r="K5" s="8">
        <f>-'01-ASSUMPTIONS'!$H$19</f>
        <v>-1.8</v>
      </c>
      <c r="L5" s="8">
        <f>-'01-ASSUMPTIONS'!$H$19</f>
        <v>-1.8</v>
      </c>
      <c r="M5" s="8">
        <f>-'01-ASSUMPTIONS'!$H$19</f>
        <v>-1.8</v>
      </c>
    </row>
    <row r="6" spans="4:13" ht="56.25" x14ac:dyDescent="0.25">
      <c r="F6" s="39" t="s">
        <v>42</v>
      </c>
      <c r="G6" s="8">
        <f t="shared" ref="G6:M6" si="0">$G$4+$G$5</f>
        <v>21.3</v>
      </c>
      <c r="H6" s="8">
        <f t="shared" si="0"/>
        <v>21.3</v>
      </c>
      <c r="I6" s="8">
        <f t="shared" si="0"/>
        <v>21.3</v>
      </c>
      <c r="J6" s="8">
        <f t="shared" si="0"/>
        <v>21.3</v>
      </c>
      <c r="K6" s="8">
        <f t="shared" si="0"/>
        <v>21.3</v>
      </c>
      <c r="L6" s="8">
        <f t="shared" si="0"/>
        <v>21.3</v>
      </c>
      <c r="M6" s="8">
        <f t="shared" si="0"/>
        <v>21.3</v>
      </c>
    </row>
    <row r="7" spans="4:13" ht="56.25" x14ac:dyDescent="0.25">
      <c r="F7" s="39" t="s">
        <v>43</v>
      </c>
      <c r="G7" s="8">
        <f>-'01-ASSUMPTIONS'!$H$15*'01-ASSUMPTIONS'!$H$10</f>
        <v>-4.76</v>
      </c>
      <c r="H7" s="8">
        <f>-'01-ASSUMPTIONS'!$H$15*'01-ASSUMPTIONS'!$H$10</f>
        <v>-4.76</v>
      </c>
      <c r="I7" s="8">
        <f>-'01-ASSUMPTIONS'!$H$15*'01-ASSUMPTIONS'!$H$10</f>
        <v>-4.76</v>
      </c>
      <c r="J7" s="8">
        <f>-'01-ASSUMPTIONS'!$H$15*'01-ASSUMPTIONS'!$H$10</f>
        <v>-4.76</v>
      </c>
      <c r="K7" s="8">
        <f>-'01-ASSUMPTIONS'!$H$15*'01-ASSUMPTIONS'!$H$10</f>
        <v>-4.76</v>
      </c>
      <c r="L7" s="8">
        <f>-'01-ASSUMPTIONS'!$H$15*'01-ASSUMPTIONS'!$H$10</f>
        <v>-4.76</v>
      </c>
      <c r="M7" s="8">
        <f>-'01-ASSUMPTIONS'!$H$15*'01-ASSUMPTIONS'!$H$10</f>
        <v>-4.76</v>
      </c>
    </row>
    <row r="8" spans="4:13" ht="56.25" x14ac:dyDescent="0.25">
      <c r="F8" s="39" t="s">
        <v>97</v>
      </c>
      <c r="G8" s="8">
        <f>-G7*'01-ASSUMPTIONS'!$H$16</f>
        <v>1.6659999999999999</v>
      </c>
      <c r="H8" s="8">
        <f>-H7*'01-ASSUMPTIONS'!$H$16</f>
        <v>1.6659999999999999</v>
      </c>
      <c r="I8" s="8">
        <f>-I7*'01-ASSUMPTIONS'!$H$16</f>
        <v>1.6659999999999999</v>
      </c>
      <c r="J8" s="8">
        <f>-J7*'01-ASSUMPTIONS'!$H$16</f>
        <v>1.6659999999999999</v>
      </c>
      <c r="K8" s="8">
        <f>-K7*'01-ASSUMPTIONS'!$H$16</f>
        <v>1.6659999999999999</v>
      </c>
      <c r="L8" s="8">
        <f>-L7*'01-ASSUMPTIONS'!$H$16</f>
        <v>1.6659999999999999</v>
      </c>
      <c r="M8" s="8">
        <f>-M7*'01-ASSUMPTIONS'!$H$16</f>
        <v>1.6659999999999999</v>
      </c>
    </row>
    <row r="9" spans="4:13" ht="56.25" x14ac:dyDescent="0.3">
      <c r="F9" s="40" t="s">
        <v>44</v>
      </c>
      <c r="G9" s="8">
        <f t="shared" ref="G9:M9" si="1">G6+G7</f>
        <v>16.54</v>
      </c>
      <c r="H9" s="8">
        <f t="shared" si="1"/>
        <v>16.54</v>
      </c>
      <c r="I9" s="8">
        <f t="shared" si="1"/>
        <v>16.54</v>
      </c>
      <c r="J9" s="8">
        <f t="shared" si="1"/>
        <v>16.54</v>
      </c>
      <c r="K9" s="8">
        <f t="shared" si="1"/>
        <v>16.54</v>
      </c>
      <c r="L9" s="8">
        <f t="shared" si="1"/>
        <v>16.54</v>
      </c>
      <c r="M9" s="8">
        <f t="shared" si="1"/>
        <v>16.54</v>
      </c>
    </row>
    <row r="10" spans="4:13" ht="75" x14ac:dyDescent="0.3">
      <c r="F10" s="40" t="s">
        <v>98</v>
      </c>
      <c r="G10" s="8">
        <f>G9+G8</f>
        <v>18.206</v>
      </c>
      <c r="H10" s="8">
        <f t="shared" ref="H10:M10" si="2">H9+H8</f>
        <v>18.206</v>
      </c>
      <c r="I10" s="8">
        <f t="shared" si="2"/>
        <v>18.206</v>
      </c>
      <c r="J10" s="8">
        <f t="shared" si="2"/>
        <v>18.206</v>
      </c>
      <c r="K10" s="8">
        <f t="shared" si="2"/>
        <v>18.206</v>
      </c>
      <c r="L10" s="8">
        <f t="shared" si="2"/>
        <v>18.206</v>
      </c>
      <c r="M10" s="8">
        <f t="shared" si="2"/>
        <v>18.206</v>
      </c>
    </row>
    <row r="11" spans="4:13" ht="36.75" customHeight="1" x14ac:dyDescent="0.25">
      <c r="F11" s="39" t="s">
        <v>45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f>-'01-ASSUMPTIONS'!H10</f>
        <v>-119</v>
      </c>
    </row>
    <row r="12" spans="4:13" ht="36.75" customHeight="1" x14ac:dyDescent="0.25">
      <c r="F12" s="41" t="s">
        <v>75</v>
      </c>
      <c r="G12" s="8">
        <f>G10</f>
        <v>18.206</v>
      </c>
      <c r="H12" s="8">
        <f>G10+G12</f>
        <v>36.411999999999999</v>
      </c>
      <c r="I12" s="8">
        <f t="shared" ref="I12:M12" si="3">H10+H12</f>
        <v>54.617999999999995</v>
      </c>
      <c r="J12" s="8">
        <f t="shared" si="3"/>
        <v>72.823999999999998</v>
      </c>
      <c r="K12" s="8">
        <f t="shared" si="3"/>
        <v>91.03</v>
      </c>
      <c r="L12" s="8">
        <f t="shared" si="3"/>
        <v>109.236</v>
      </c>
      <c r="M12" s="8">
        <f t="shared" si="3"/>
        <v>127.44200000000001</v>
      </c>
    </row>
    <row r="13" spans="4:13" ht="18.75" x14ac:dyDescent="0.3">
      <c r="F13" s="38" t="s">
        <v>67</v>
      </c>
      <c r="G13" s="23"/>
      <c r="H13" s="23"/>
      <c r="I13" s="23"/>
      <c r="J13" s="23"/>
      <c r="K13" s="23"/>
      <c r="L13" s="23"/>
      <c r="M13" s="23"/>
    </row>
  </sheetData>
  <mergeCells count="1">
    <mergeCell ref="F13:M13"/>
  </mergeCells>
  <phoneticPr fontId="10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EC5B-5CEA-486B-AF7E-91C4E14A7CC1}">
  <dimension ref="F3:Z16"/>
  <sheetViews>
    <sheetView topLeftCell="D1" zoomScale="55" workbookViewId="0">
      <selection activeCell="I16" sqref="I16"/>
    </sheetView>
  </sheetViews>
  <sheetFormatPr defaultRowHeight="15" x14ac:dyDescent="0.25"/>
  <cols>
    <col min="5" max="5" width="7" customWidth="1"/>
    <col min="6" max="6" width="16.28515625" customWidth="1"/>
    <col min="7" max="7" width="13.5703125" style="19" bestFit="1" customWidth="1"/>
    <col min="8" max="15" width="14.140625" style="19" bestFit="1" customWidth="1"/>
    <col min="16" max="16" width="15.28515625" style="19" bestFit="1" customWidth="1"/>
    <col min="17" max="17" width="14.7109375" style="19" bestFit="1" customWidth="1"/>
    <col min="18" max="25" width="15.28515625" style="19" bestFit="1" customWidth="1"/>
    <col min="26" max="26" width="15.85546875" style="19" bestFit="1" customWidth="1"/>
  </cols>
  <sheetData>
    <row r="3" spans="6:26" ht="31.5" customHeight="1" x14ac:dyDescent="0.25"/>
    <row r="4" spans="6:26" hidden="1" x14ac:dyDescent="0.25"/>
    <row r="5" spans="6:26" ht="24.75" customHeight="1" x14ac:dyDescent="0.4">
      <c r="F5" s="46" t="s">
        <v>114</v>
      </c>
    </row>
    <row r="6" spans="6:26" ht="20.25" customHeight="1" x14ac:dyDescent="0.25"/>
    <row r="7" spans="6:26" ht="24.75" customHeight="1" x14ac:dyDescent="0.25">
      <c r="G7" s="8" t="s">
        <v>47</v>
      </c>
      <c r="H7" s="8" t="s">
        <v>48</v>
      </c>
      <c r="I7" s="8" t="s">
        <v>49</v>
      </c>
      <c r="J7" s="8" t="s">
        <v>50</v>
      </c>
      <c r="K7" s="8" t="s">
        <v>51</v>
      </c>
      <c r="L7" s="8" t="s">
        <v>52</v>
      </c>
      <c r="M7" s="8" t="s">
        <v>53</v>
      </c>
      <c r="N7" s="8" t="s">
        <v>54</v>
      </c>
      <c r="O7" s="8" t="s">
        <v>55</v>
      </c>
      <c r="P7" s="8" t="s">
        <v>56</v>
      </c>
      <c r="Q7" s="8" t="s">
        <v>57</v>
      </c>
      <c r="R7" s="8" t="s">
        <v>58</v>
      </c>
      <c r="S7" s="8" t="s">
        <v>59</v>
      </c>
      <c r="T7" s="8" t="s">
        <v>60</v>
      </c>
      <c r="U7" s="8" t="s">
        <v>61</v>
      </c>
      <c r="V7" s="8" t="s">
        <v>62</v>
      </c>
      <c r="W7" s="8" t="s">
        <v>63</v>
      </c>
      <c r="X7" s="8" t="s">
        <v>64</v>
      </c>
      <c r="Y7" s="8" t="s">
        <v>65</v>
      </c>
      <c r="Z7" s="8" t="s">
        <v>66</v>
      </c>
    </row>
    <row r="8" spans="6:26" ht="37.5" x14ac:dyDescent="0.25">
      <c r="F8" s="45" t="s">
        <v>46</v>
      </c>
      <c r="G8" s="8">
        <f>'01-ASSUMPTIONS'!$H$14-'01-ASSUMPTIONS'!$H$19</f>
        <v>21.3</v>
      </c>
      <c r="H8" s="8">
        <f>'01-ASSUMPTIONS'!$H$14-'01-ASSUMPTIONS'!$H$19</f>
        <v>21.3</v>
      </c>
      <c r="I8" s="8">
        <f>'01-ASSUMPTIONS'!$H$14-'01-ASSUMPTIONS'!$H$19</f>
        <v>21.3</v>
      </c>
      <c r="J8" s="8">
        <f>'01-ASSUMPTIONS'!$H$14-'01-ASSUMPTIONS'!$H$19</f>
        <v>21.3</v>
      </c>
      <c r="K8" s="8">
        <f>'01-ASSUMPTIONS'!$H$14-'01-ASSUMPTIONS'!$H$19</f>
        <v>21.3</v>
      </c>
      <c r="L8" s="8">
        <f>'01-ASSUMPTIONS'!$H$14-'01-ASSUMPTIONS'!$H$19</f>
        <v>21.3</v>
      </c>
      <c r="M8" s="8">
        <f>'01-ASSUMPTIONS'!$H$14-'01-ASSUMPTIONS'!$H$19</f>
        <v>21.3</v>
      </c>
      <c r="N8" s="8">
        <f>'01-ASSUMPTIONS'!$H$14-'01-ASSUMPTIONS'!$H$19</f>
        <v>21.3</v>
      </c>
      <c r="O8" s="8">
        <f>'01-ASSUMPTIONS'!$H$14-'01-ASSUMPTIONS'!$H$19</f>
        <v>21.3</v>
      </c>
      <c r="P8" s="8">
        <f>'01-ASSUMPTIONS'!$H$14-'01-ASSUMPTIONS'!$H$19</f>
        <v>21.3</v>
      </c>
      <c r="Q8" s="8">
        <f>'01-ASSUMPTIONS'!$H$14-'01-ASSUMPTIONS'!$H$19</f>
        <v>21.3</v>
      </c>
      <c r="R8" s="8">
        <f>'01-ASSUMPTIONS'!$H$14-'01-ASSUMPTIONS'!$H$19</f>
        <v>21.3</v>
      </c>
      <c r="S8" s="8">
        <f>'01-ASSUMPTIONS'!$H$14-'01-ASSUMPTIONS'!$H$19</f>
        <v>21.3</v>
      </c>
      <c r="T8" s="8">
        <f>'01-ASSUMPTIONS'!$H$14-'01-ASSUMPTIONS'!$H$19</f>
        <v>21.3</v>
      </c>
      <c r="U8" s="8">
        <f>'01-ASSUMPTIONS'!$H$14-'01-ASSUMPTIONS'!$H$19</f>
        <v>21.3</v>
      </c>
      <c r="V8" s="8">
        <f>'01-ASSUMPTIONS'!$H$14-'01-ASSUMPTIONS'!$H$19</f>
        <v>21.3</v>
      </c>
      <c r="W8" s="8">
        <f>'01-ASSUMPTIONS'!$H$14-'01-ASSUMPTIONS'!$H$19</f>
        <v>21.3</v>
      </c>
      <c r="X8" s="8">
        <f>'01-ASSUMPTIONS'!$H$14-'01-ASSUMPTIONS'!$H$19</f>
        <v>21.3</v>
      </c>
      <c r="Y8" s="8">
        <f>'01-ASSUMPTIONS'!$H$14-'01-ASSUMPTIONS'!$H$19</f>
        <v>21.3</v>
      </c>
      <c r="Z8" s="8">
        <f>'01-ASSUMPTIONS'!$H$14-'01-ASSUMPTIONS'!$H$19</f>
        <v>21.3</v>
      </c>
    </row>
    <row r="9" spans="6:26" x14ac:dyDescent="0.25">
      <c r="F9">
        <f>G13</f>
        <v>-119</v>
      </c>
      <c r="G9">
        <f>G8</f>
        <v>21.3</v>
      </c>
      <c r="H9">
        <f t="shared" ref="H9:Z9" si="0">H8</f>
        <v>21.3</v>
      </c>
      <c r="I9">
        <f t="shared" si="0"/>
        <v>21.3</v>
      </c>
      <c r="J9">
        <f t="shared" si="0"/>
        <v>21.3</v>
      </c>
      <c r="K9">
        <f t="shared" si="0"/>
        <v>21.3</v>
      </c>
      <c r="L9">
        <f t="shared" si="0"/>
        <v>21.3</v>
      </c>
      <c r="M9">
        <f t="shared" si="0"/>
        <v>21.3</v>
      </c>
      <c r="N9">
        <f t="shared" si="0"/>
        <v>21.3</v>
      </c>
      <c r="O9">
        <f t="shared" si="0"/>
        <v>21.3</v>
      </c>
      <c r="P9">
        <f t="shared" si="0"/>
        <v>21.3</v>
      </c>
      <c r="Q9">
        <f t="shared" si="0"/>
        <v>21.3</v>
      </c>
      <c r="R9">
        <f t="shared" si="0"/>
        <v>21.3</v>
      </c>
      <c r="S9">
        <f t="shared" si="0"/>
        <v>21.3</v>
      </c>
      <c r="T9">
        <f t="shared" si="0"/>
        <v>21.3</v>
      </c>
      <c r="U9">
        <f t="shared" si="0"/>
        <v>21.3</v>
      </c>
      <c r="V9">
        <f t="shared" si="0"/>
        <v>21.3</v>
      </c>
      <c r="W9">
        <f t="shared" si="0"/>
        <v>21.3</v>
      </c>
      <c r="X9">
        <f t="shared" si="0"/>
        <v>21.3</v>
      </c>
      <c r="Y9">
        <f t="shared" si="0"/>
        <v>21.3</v>
      </c>
      <c r="Z9">
        <f t="shared" si="0"/>
        <v>21.3</v>
      </c>
    </row>
    <row r="12" spans="6:26" ht="25.5" customHeight="1" x14ac:dyDescent="0.25">
      <c r="G12" s="8" t="s">
        <v>76</v>
      </c>
      <c r="M12" s="43" t="s">
        <v>78</v>
      </c>
      <c r="N12" s="43" t="s">
        <v>79</v>
      </c>
    </row>
    <row r="13" spans="6:26" ht="27" customHeight="1" x14ac:dyDescent="0.25">
      <c r="F13" s="37" t="s">
        <v>77</v>
      </c>
      <c r="G13" s="8">
        <f>-'01-ASSUMPTIONS'!H10</f>
        <v>-119</v>
      </c>
      <c r="M13" s="44">
        <f>NPV('01-ASSUMPTIONS'!$H$18,'04-VALUATION'!G8:Z8)+'04-VALUATION'!G13</f>
        <v>90.126539778669752</v>
      </c>
      <c r="N13" s="42">
        <f>IRR(F9:Z9)</f>
        <v>0.17143215290529557</v>
      </c>
    </row>
    <row r="15" spans="6:26" ht="35.25" customHeight="1" x14ac:dyDescent="0.25"/>
    <row r="16" spans="6:26" ht="33.75" customHeight="1" x14ac:dyDescent="0.25"/>
  </sheetData>
  <phoneticPr fontId="10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81A5-052B-4114-B365-C83889BBC5F9}">
  <dimension ref="F5:AA16"/>
  <sheetViews>
    <sheetView tabSelected="1" zoomScale="68" workbookViewId="0">
      <selection activeCell="G16" sqref="G16"/>
    </sheetView>
  </sheetViews>
  <sheetFormatPr defaultRowHeight="15" x14ac:dyDescent="0.25"/>
  <cols>
    <col min="7" max="7" width="18.7109375" bestFit="1" customWidth="1"/>
    <col min="8" max="8" width="20" bestFit="1" customWidth="1"/>
    <col min="9" max="9" width="14.85546875" bestFit="1" customWidth="1"/>
    <col min="10" max="10" width="30.28515625" customWidth="1"/>
    <col min="11" max="11" width="0.140625" customWidth="1"/>
    <col min="12" max="12" width="19.7109375" customWidth="1"/>
    <col min="13" max="13" width="19.140625" customWidth="1"/>
    <col min="14" max="14" width="13.7109375" customWidth="1"/>
    <col min="15" max="15" width="16.28515625" customWidth="1"/>
    <col min="16" max="16" width="16" customWidth="1"/>
  </cols>
  <sheetData>
    <row r="5" spans="6:27" ht="26.25" x14ac:dyDescent="0.25">
      <c r="H5" s="54" t="s">
        <v>105</v>
      </c>
    </row>
    <row r="7" spans="6:27" ht="26.25" x14ac:dyDescent="0.4">
      <c r="J7" s="46"/>
      <c r="K7" s="47" t="s">
        <v>23</v>
      </c>
      <c r="L7" s="48" t="s">
        <v>83</v>
      </c>
      <c r="M7" s="53" t="s">
        <v>84</v>
      </c>
      <c r="N7" s="48"/>
      <c r="O7" s="48" t="s">
        <v>85</v>
      </c>
      <c r="P7" s="48" t="s">
        <v>79</v>
      </c>
    </row>
    <row r="8" spans="6:27" ht="26.25" x14ac:dyDescent="0.25">
      <c r="J8" s="48" t="s">
        <v>80</v>
      </c>
      <c r="K8" s="49">
        <v>1400</v>
      </c>
      <c r="L8" s="49">
        <v>0.56000000000000005</v>
      </c>
      <c r="M8" s="50">
        <v>15.3</v>
      </c>
      <c r="N8" s="50"/>
      <c r="O8" s="49">
        <f>-'01-ASSUMPTIONS'!$H$10+('05-SCENARIOS'!M8-'01-ASSUMPTIONS'!$H$19)*(1-(1+'01-ASSUMPTIONS'!$H$18)^-20)/'01-ASSUMPTIONS'!$H$18</f>
        <v>13.544990000565463</v>
      </c>
      <c r="P8" s="55">
        <f>RATE(20,M8-'01-ASSUMPTIONS'!$H$19,-'01-ASSUMPTIONS'!$H$10)</f>
        <v>9.4960425220687095E-2</v>
      </c>
    </row>
    <row r="9" spans="6:27" ht="26.25" x14ac:dyDescent="0.25">
      <c r="J9" s="48" t="s">
        <v>81</v>
      </c>
      <c r="K9" s="49">
        <v>1700</v>
      </c>
      <c r="L9" s="49">
        <v>0.8</v>
      </c>
      <c r="M9" s="50">
        <v>23.1</v>
      </c>
      <c r="N9" s="50"/>
      <c r="O9" s="49">
        <f>-'01-ASSUMPTIONS'!$H$10+('05-SCENARIOS'!M9-'01-ASSUMPTIONS'!$H$19)*(1-(1+'01-ASSUMPTIONS'!$H$18)^-20)/'01-ASSUMPTIONS'!$H$18</f>
        <v>90.126539778669951</v>
      </c>
      <c r="P9" s="55">
        <f>RATE(20,M9-'01-ASSUMPTIONS'!$H$19,-'01-ASSUMPTIONS'!$H$10)</f>
        <v>0.17143215290548311</v>
      </c>
    </row>
    <row r="10" spans="6:27" ht="26.25" x14ac:dyDescent="0.25">
      <c r="J10" s="48" t="s">
        <v>82</v>
      </c>
      <c r="K10" s="49">
        <v>1900</v>
      </c>
      <c r="L10" s="49">
        <v>0.9</v>
      </c>
      <c r="M10" s="51">
        <v>29.1</v>
      </c>
      <c r="N10" s="52"/>
      <c r="O10" s="49">
        <f>-'01-ASSUMPTIONS'!$H$10+('05-SCENARIOS'!M10-'01-ASSUMPTIONS'!$H$19)*(1-(1+'01-ASSUMPTIONS'!$H$18)^-20)/'01-ASSUMPTIONS'!$H$18</f>
        <v>149.03542422336568</v>
      </c>
      <c r="P10" s="55">
        <f>IRR(F16:Z16)</f>
        <v>0.22548093237740363</v>
      </c>
      <c r="AA10" s="16"/>
    </row>
    <row r="11" spans="6:27" x14ac:dyDescent="0.25">
      <c r="P11" s="18"/>
    </row>
    <row r="16" spans="6:27" x14ac:dyDescent="0.25">
      <c r="F16">
        <f>-'01-ASSUMPTIONS'!$H$10</f>
        <v>-119</v>
      </c>
      <c r="G16">
        <f>$M$10-'01-ASSUMPTIONS'!$H$19</f>
        <v>27.3</v>
      </c>
      <c r="H16">
        <f>$M$10-'01-ASSUMPTIONS'!$H$19</f>
        <v>27.3</v>
      </c>
      <c r="I16">
        <f>$M$10-'01-ASSUMPTIONS'!$H$19</f>
        <v>27.3</v>
      </c>
      <c r="J16">
        <f>$M$10-'01-ASSUMPTIONS'!$H$19</f>
        <v>27.3</v>
      </c>
      <c r="K16">
        <f>$M$10-'01-ASSUMPTIONS'!$H$19</f>
        <v>27.3</v>
      </c>
      <c r="L16">
        <f>$M$10-'01-ASSUMPTIONS'!$H$19</f>
        <v>27.3</v>
      </c>
      <c r="M16">
        <f>$M$10-'01-ASSUMPTIONS'!$H$19</f>
        <v>27.3</v>
      </c>
      <c r="N16">
        <f>$M$10-'01-ASSUMPTIONS'!$H$19</f>
        <v>27.3</v>
      </c>
      <c r="O16">
        <f>$M$10-'01-ASSUMPTIONS'!$H$19</f>
        <v>27.3</v>
      </c>
      <c r="P16">
        <f>$M$10-'01-ASSUMPTIONS'!$H$19</f>
        <v>27.3</v>
      </c>
      <c r="Q16">
        <f>$M$10-'01-ASSUMPTIONS'!$H$19</f>
        <v>27.3</v>
      </c>
      <c r="R16">
        <f>$M$10-'01-ASSUMPTIONS'!$H$19</f>
        <v>27.3</v>
      </c>
      <c r="S16">
        <f>$M$10-'01-ASSUMPTIONS'!$H$19</f>
        <v>27.3</v>
      </c>
      <c r="T16">
        <f>$M$10-'01-ASSUMPTIONS'!$H$19</f>
        <v>27.3</v>
      </c>
      <c r="U16">
        <f>$M$10-'01-ASSUMPTIONS'!$H$19</f>
        <v>27.3</v>
      </c>
      <c r="V16">
        <f>$M$10-'01-ASSUMPTIONS'!$H$19</f>
        <v>27.3</v>
      </c>
      <c r="W16">
        <f>$M$10-'01-ASSUMPTIONS'!$H$19</f>
        <v>27.3</v>
      </c>
      <c r="X16">
        <f>$M$10-'01-ASSUMPTIONS'!$H$19</f>
        <v>27.3</v>
      </c>
      <c r="Y16">
        <f>$M$10-'01-ASSUMPTIONS'!$H$19</f>
        <v>27.3</v>
      </c>
      <c r="Z16">
        <f>$M$10-'01-ASSUMPTIONS'!$H$19</f>
        <v>27.3</v>
      </c>
    </row>
  </sheetData>
  <mergeCells count="3">
    <mergeCell ref="M8:N8"/>
    <mergeCell ref="M9:N9"/>
    <mergeCell ref="M10:N1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00-COVER</vt:lpstr>
      <vt:lpstr>01-ASSUMPTIONS</vt:lpstr>
      <vt:lpstr>02-FINANCIAL ANALYSIS</vt:lpstr>
      <vt:lpstr>03-CASH FLOW</vt:lpstr>
      <vt:lpstr>04-VALUATION</vt:lpstr>
      <vt:lpstr>05-SCENARIOS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rajae ouidad</dc:creator>
  <cp:lastModifiedBy>rajae ouidad</cp:lastModifiedBy>
  <dcterms:created xsi:type="dcterms:W3CDTF">2026-09-16T13:14:36Z</dcterms:created>
  <dcterms:modified xsi:type="dcterms:W3CDTF">2026-09-21T18:12:57Z</dcterms:modified>
</cp:coreProperties>
</file>